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curso vb\capítulo 6\"/>
    </mc:Choice>
  </mc:AlternateContent>
  <bookViews>
    <workbookView xWindow="0" yWindow="0" windowWidth="20400" windowHeight="7065" activeTab="1"/>
  </bookViews>
  <sheets>
    <sheet name="ACTIV (3)" sheetId="6" r:id="rId1"/>
    <sheet name="ACTIV (2)" sheetId="5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6" l="1"/>
  <c r="H3" i="6" l="1"/>
  <c r="F3" i="6"/>
  <c r="F9" i="6"/>
  <c r="G9" i="6" s="1"/>
  <c r="H9" i="6" s="1"/>
  <c r="G8" i="6"/>
  <c r="H8" i="6" s="1"/>
  <c r="F8" i="6"/>
  <c r="F7" i="6"/>
  <c r="G7" i="6" s="1"/>
  <c r="H7" i="6" s="1"/>
  <c r="G6" i="6"/>
  <c r="H6" i="6" s="1"/>
  <c r="F6" i="6"/>
  <c r="F5" i="6"/>
  <c r="G5" i="6" s="1"/>
  <c r="F4" i="6"/>
  <c r="G4" i="6" s="1"/>
  <c r="H4" i="6" s="1"/>
  <c r="G9" i="5"/>
  <c r="H9" i="5" s="1"/>
  <c r="G8" i="5"/>
  <c r="H8" i="5" s="1"/>
  <c r="G7" i="5"/>
  <c r="H7" i="5" s="1"/>
  <c r="G6" i="5"/>
  <c r="H6" i="5" s="1"/>
  <c r="G5" i="5"/>
  <c r="H5" i="5" s="1"/>
  <c r="G4" i="5"/>
  <c r="H4" i="5" s="1"/>
  <c r="G3" i="5"/>
  <c r="H3" i="5" s="1"/>
  <c r="F4" i="5"/>
  <c r="F5" i="5"/>
  <c r="F6" i="5"/>
  <c r="F7" i="5"/>
  <c r="F8" i="5"/>
  <c r="F9" i="5"/>
  <c r="F3" i="5"/>
  <c r="H5" i="6" l="1"/>
  <c r="H10" i="6" s="1"/>
  <c r="B12" i="6" s="1"/>
  <c r="H10" i="5"/>
  <c r="B12" i="5" s="1"/>
</calcChain>
</file>

<file path=xl/sharedStrings.xml><?xml version="1.0" encoding="utf-8"?>
<sst xmlns="http://schemas.openxmlformats.org/spreadsheetml/2006/main" count="34" uniqueCount="16">
  <si>
    <t>AGENCIA DE ENVÍOS</t>
  </si>
  <si>
    <t>Bogotá</t>
  </si>
  <si>
    <t>DESTINOS INTERNACIONALES</t>
  </si>
  <si>
    <t>Lima</t>
  </si>
  <si>
    <t>Quito</t>
  </si>
  <si>
    <t>Brasilia</t>
  </si>
  <si>
    <t>Asunción</t>
  </si>
  <si>
    <t>Buenos  Aires</t>
  </si>
  <si>
    <t>México</t>
  </si>
  <si>
    <t xml:space="preserve">TIPO DE ENVIO </t>
  </si>
  <si>
    <t>PESO KG</t>
  </si>
  <si>
    <t xml:space="preserve">COSTO ENVIO </t>
  </si>
  <si>
    <t xml:space="preserve">COSTOS NORMAL </t>
  </si>
  <si>
    <t xml:space="preserve">COSTO PRIORITARIO </t>
  </si>
  <si>
    <t>NORMAL/PRIORITARIO</t>
  </si>
  <si>
    <t>PESO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</si>
</sst>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(&quot;$&quot;\ * #,##0.00_);_(&quot;$&quot;\ * \(#,##0.00\);_(&quot;$&quot;\ 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4" tint="0.39997558519241921"/>
      <name val="Calibri"/>
      <family val="2"/>
      <scheme val="minor"/>
    </font>
    <font>
      <sz val="8"/>
      <color rgb="FF000000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0">
    <xf numFmtId="0" fontId="0" fillId="0" borderId="0" xfId="0"/>
    <xf numFmtId="0" fontId="0" fillId="0" borderId="1" xfId="0" applyBorder="1" applyAlignment="1">
      <alignment vertical="center"/>
    </xf>
    <xf numFmtId="0" fontId="0" fillId="0" borderId="0" xfId="0" applyBorder="1" applyAlignment="1"/>
    <xf numFmtId="0" fontId="0" fillId="0" borderId="0" xfId="0" applyBorder="1" applyAlignment="1">
      <alignment horizontal="center"/>
    </xf>
    <xf numFmtId="0" fontId="0" fillId="2" borderId="1" xfId="0" applyFill="1" applyBorder="1" applyAlignment="1">
      <alignment vertical="center"/>
    </xf>
    <xf numFmtId="0" fontId="2" fillId="0" borderId="0" xfId="0" applyFont="1"/>
    <xf numFmtId="0" fontId="0" fillId="2" borderId="1" xfId="0" applyFill="1" applyBorder="1" applyAlignment="1">
      <alignment horizontal="center" vertical="center"/>
    </xf>
    <xf numFmtId="44" fontId="0" fillId="0" borderId="1" xfId="1" applyFont="1" applyBorder="1"/>
    <xf numFmtId="0" fontId="0" fillId="0" borderId="1" xfId="0" applyBorder="1"/>
    <xf numFmtId="44" fontId="0" fillId="0" borderId="1" xfId="0" applyNumberFormat="1" applyBorder="1"/>
    <xf numFmtId="44" fontId="0" fillId="2" borderId="1" xfId="1" applyFont="1" applyFill="1" applyBorder="1" applyAlignment="1">
      <alignment horizontal="center" vertical="center"/>
    </xf>
    <xf numFmtId="44" fontId="0" fillId="0" borderId="3" xfId="1" applyFont="1" applyBorder="1"/>
    <xf numFmtId="44" fontId="0" fillId="0" borderId="0" xfId="0" applyNumberFormat="1"/>
    <xf numFmtId="0" fontId="0" fillId="3" borderId="1" xfId="0" applyFill="1" applyBorder="1" applyAlignment="1">
      <alignment horizontal="center" vertical="center"/>
    </xf>
    <xf numFmtId="44" fontId="0" fillId="4" borderId="1" xfId="1" applyFont="1" applyFill="1" applyBorder="1" applyAlignment="1">
      <alignment horizontal="center" vertical="center"/>
    </xf>
    <xf numFmtId="44" fontId="0" fillId="4" borderId="3" xfId="1" applyFont="1" applyFill="1" applyBorder="1"/>
    <xf numFmtId="0" fontId="0" fillId="4" borderId="2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/>
    </xf>
  </cellXfs>
  <cellStyles count="2">
    <cellStyle name="Mon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List" dx="22" fmlaLink="$C$2" fmlaRange="$D$3:$D$9" noThreeD="1" sel="3" val="0"/>
</file>

<file path=xl/ctrlProps/ctrlProp2.xml><?xml version="1.0" encoding="utf-8"?>
<formControlPr xmlns="http://schemas.microsoft.com/office/spreadsheetml/2009/9/main" objectType="Radio" checked="Checked" firstButton="1" fmlaLink="$C$4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Scroll" dx="22" fmlaLink="$B$10" horiz="1" inc="10" max="30" min="10" page="10" val="20"/>
</file>

<file path=xl/ctrlProps/ctrlProp5.xml><?xml version="1.0" encoding="utf-8"?>
<formControlPr xmlns="http://schemas.microsoft.com/office/spreadsheetml/2009/9/main" objectType="List" dx="22" fmlaLink="$C$2" fmlaRange="$D$3:$D$9" sel="1" val="0"/>
</file>

<file path=xl/ctrlProps/ctrlProp6.xml><?xml version="1.0" encoding="utf-8"?>
<formControlPr xmlns="http://schemas.microsoft.com/office/spreadsheetml/2009/9/main" objectType="Radio" firstButton="1" fmlaLink="$C$4" lockText="1" noThreeD="1"/>
</file>

<file path=xl/ctrlProps/ctrlProp7.xml><?xml version="1.0" encoding="utf-8"?>
<formControlPr xmlns="http://schemas.microsoft.com/office/spreadsheetml/2009/9/main" objectType="Radio" checked="Checked" lockText="1" noThreeD="1"/>
</file>

<file path=xl/ctrlProps/ctrlProp8.xml><?xml version="1.0" encoding="utf-8"?>
<formControlPr xmlns="http://schemas.microsoft.com/office/spreadsheetml/2009/9/main" objectType="Scroll" dx="22" fmlaLink="$B$10" horiz="1" inc="10" max="30" page="10" val="0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0</xdr:row>
      <xdr:rowOff>171450</xdr:rowOff>
    </xdr:from>
    <xdr:to>
      <xdr:col>6</xdr:col>
      <xdr:colOff>1129812</xdr:colOff>
      <xdr:row>1</xdr:row>
      <xdr:rowOff>180975</xdr:rowOff>
    </xdr:to>
    <xdr:sp macro="" textlink="">
      <xdr:nvSpPr>
        <xdr:cNvPr id="2" name="Drop Down 1" hidden="1">
          <a:extLst>
            <a:ext uri="{63B3BB69-23CF-44E3-9099-C40C66FF867C}">
              <a14:compatExt xmlns:a14="http://schemas.microsoft.com/office/drawing/2010/main" spid="_x0000_s5121"/>
            </a:ext>
          </a:extLst>
        </xdr:cNvPr>
        <xdr:cNvSpPr/>
      </xdr:nvSpPr>
      <xdr:spPr bwMode="auto">
        <a:xfrm>
          <a:off x="5562600" y="171450"/>
          <a:ext cx="4206387" cy="2000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180975</xdr:colOff>
      <xdr:row>3</xdr:row>
      <xdr:rowOff>19050</xdr:rowOff>
    </xdr:from>
    <xdr:to>
      <xdr:col>4</xdr:col>
      <xdr:colOff>923925</xdr:colOff>
      <xdr:row>4</xdr:row>
      <xdr:rowOff>161925</xdr:rowOff>
    </xdr:to>
    <xdr:sp macro="" textlink="">
      <xdr:nvSpPr>
        <xdr:cNvPr id="3" name="Spinner 2" hidden="1">
          <a:extLst>
            <a:ext uri="{63B3BB69-23CF-44E3-9099-C40C66FF867C}">
              <a14:compatExt xmlns:a14="http://schemas.microsoft.com/office/drawing/2010/main" spid="_x0000_s5122"/>
            </a:ext>
          </a:extLst>
        </xdr:cNvPr>
        <xdr:cNvSpPr/>
      </xdr:nvSpPr>
      <xdr:spPr bwMode="auto">
        <a:xfrm>
          <a:off x="4981575" y="590550"/>
          <a:ext cx="1504950" cy="333375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</xdr:row>
          <xdr:rowOff>9525</xdr:rowOff>
        </xdr:from>
        <xdr:to>
          <xdr:col>0</xdr:col>
          <xdr:colOff>1857375</xdr:colOff>
          <xdr:row>8</xdr:row>
          <xdr:rowOff>19050</xdr:rowOff>
        </xdr:to>
        <xdr:sp macro="" textlink="">
          <xdr:nvSpPr>
            <xdr:cNvPr id="3073" name="List Box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9525</xdr:rowOff>
        </xdr:from>
        <xdr:to>
          <xdr:col>2</xdr:col>
          <xdr:colOff>0</xdr:colOff>
          <xdr:row>3</xdr:row>
          <xdr:rowOff>76200</xdr:rowOff>
        </xdr:to>
        <xdr:sp macro="" textlink="">
          <xdr:nvSpPr>
            <xdr:cNvPr id="3074" name="Option 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NORMAL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1885950</xdr:colOff>
          <xdr:row>5</xdr:row>
          <xdr:rowOff>0</xdr:rowOff>
        </xdr:from>
        <xdr:to>
          <xdr:col>1</xdr:col>
          <xdr:colOff>1552575</xdr:colOff>
          <xdr:row>6</xdr:row>
          <xdr:rowOff>47625</xdr:rowOff>
        </xdr:to>
        <xdr:sp macro="" textlink="">
          <xdr:nvSpPr>
            <xdr:cNvPr id="3075" name="Option 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PRIORITARIO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1885950</xdr:colOff>
          <xdr:row>7</xdr:row>
          <xdr:rowOff>171450</xdr:rowOff>
        </xdr:from>
        <xdr:to>
          <xdr:col>1</xdr:col>
          <xdr:colOff>1600200</xdr:colOff>
          <xdr:row>9</xdr:row>
          <xdr:rowOff>0</xdr:rowOff>
        </xdr:to>
        <xdr:sp macro="" textlink="">
          <xdr:nvSpPr>
            <xdr:cNvPr id="3076" name="Scroll Bar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0</xdr:row>
      <xdr:rowOff>171450</xdr:rowOff>
    </xdr:from>
    <xdr:to>
      <xdr:col>13</xdr:col>
      <xdr:colOff>397119</xdr:colOff>
      <xdr:row>1</xdr:row>
      <xdr:rowOff>180975</xdr:rowOff>
    </xdr:to>
    <xdr:sp macro="" textlink="">
      <xdr:nvSpPr>
        <xdr:cNvPr id="5121" name="Drop Down 1" hidden="1">
          <a:extLst>
            <a:ext uri="{63B3BB69-23CF-44E3-9099-C40C66FF867C}">
              <a14:compatExt xmlns:a14="http://schemas.microsoft.com/office/drawing/2010/main" spid="_x0000_s512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180975</xdr:colOff>
      <xdr:row>3</xdr:row>
      <xdr:rowOff>19050</xdr:rowOff>
    </xdr:from>
    <xdr:to>
      <xdr:col>4</xdr:col>
      <xdr:colOff>923925</xdr:colOff>
      <xdr:row>4</xdr:row>
      <xdr:rowOff>161925</xdr:rowOff>
    </xdr:to>
    <xdr:sp macro="" textlink="">
      <xdr:nvSpPr>
        <xdr:cNvPr id="5122" name="Spinner 2" hidden="1">
          <a:extLst>
            <a:ext uri="{63B3BB69-23CF-44E3-9099-C40C66FF867C}">
              <a14:compatExt xmlns:a14="http://schemas.microsoft.com/office/drawing/2010/main" spid="_x0000_s512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19050</xdr:rowOff>
        </xdr:from>
        <xdr:to>
          <xdr:col>0</xdr:col>
          <xdr:colOff>1895475</xdr:colOff>
          <xdr:row>7</xdr:row>
          <xdr:rowOff>19050</xdr:rowOff>
        </xdr:to>
        <xdr:sp macro="" textlink="">
          <xdr:nvSpPr>
            <xdr:cNvPr id="1030" name="List Box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</xdr:row>
          <xdr:rowOff>76200</xdr:rowOff>
        </xdr:from>
        <xdr:to>
          <xdr:col>1</xdr:col>
          <xdr:colOff>1685925</xdr:colOff>
          <xdr:row>3</xdr:row>
          <xdr:rowOff>180975</xdr:rowOff>
        </xdr:to>
        <xdr:sp macro="" textlink="">
          <xdr:nvSpPr>
            <xdr:cNvPr id="1031" name="Option 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NORMAL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4</xdr:row>
          <xdr:rowOff>76200</xdr:rowOff>
        </xdr:from>
        <xdr:to>
          <xdr:col>1</xdr:col>
          <xdr:colOff>1095375</xdr:colOff>
          <xdr:row>6</xdr:row>
          <xdr:rowOff>38100</xdr:rowOff>
        </xdr:to>
        <xdr:sp macro="" textlink="">
          <xdr:nvSpPr>
            <xdr:cNvPr id="1032" name="Option 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Prioritario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1885950</xdr:colOff>
          <xdr:row>7</xdr:row>
          <xdr:rowOff>180975</xdr:rowOff>
        </xdr:from>
        <xdr:to>
          <xdr:col>8</xdr:col>
          <xdr:colOff>38100</xdr:colOff>
          <xdr:row>9</xdr:row>
          <xdr:rowOff>9525</xdr:rowOff>
        </xdr:to>
        <xdr:sp macro="" textlink="">
          <xdr:nvSpPr>
            <xdr:cNvPr id="1033" name="Scroll Bar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H12"/>
  <sheetViews>
    <sheetView showGridLines="0" zoomScale="130" zoomScaleNormal="130" workbookViewId="0">
      <selection activeCell="E13" sqref="E13"/>
    </sheetView>
  </sheetViews>
  <sheetFormatPr baseColWidth="10" defaultRowHeight="15" x14ac:dyDescent="0.25"/>
  <cols>
    <col min="1" max="1" width="28.42578125" customWidth="1"/>
    <col min="2" max="2" width="26" customWidth="1"/>
    <col min="3" max="3" width="17.5703125" customWidth="1"/>
    <col min="4" max="4" width="28.28515625" customWidth="1"/>
    <col min="5" max="5" width="26.42578125" customWidth="1"/>
    <col min="6" max="6" width="19.7109375" customWidth="1"/>
    <col min="7" max="7" width="20.42578125" customWidth="1"/>
    <col min="8" max="8" width="11.42578125" customWidth="1"/>
  </cols>
  <sheetData>
    <row r="1" spans="1:8" x14ac:dyDescent="0.25">
      <c r="A1" s="16" t="s">
        <v>0</v>
      </c>
      <c r="B1" s="17"/>
      <c r="C1" s="2"/>
      <c r="D1" s="2"/>
      <c r="E1" s="3"/>
    </row>
    <row r="2" spans="1:8" x14ac:dyDescent="0.25">
      <c r="A2" s="6" t="s">
        <v>2</v>
      </c>
      <c r="B2" s="6" t="s">
        <v>9</v>
      </c>
      <c r="C2">
        <v>3</v>
      </c>
      <c r="D2" s="4" t="s">
        <v>2</v>
      </c>
      <c r="E2" s="6" t="s">
        <v>12</v>
      </c>
      <c r="F2" s="6" t="s">
        <v>13</v>
      </c>
      <c r="G2" s="14" t="s">
        <v>14</v>
      </c>
      <c r="H2" s="6" t="s">
        <v>15</v>
      </c>
    </row>
    <row r="3" spans="1:8" x14ac:dyDescent="0.25">
      <c r="D3" s="1" t="s">
        <v>3</v>
      </c>
      <c r="E3" s="7">
        <v>80000</v>
      </c>
      <c r="F3" s="9">
        <f>E3+(E3*10%)</f>
        <v>88000</v>
      </c>
      <c r="G3" s="15">
        <f>IF(AND($C$2=1,$C$4=1),E3,F3)</f>
        <v>88000</v>
      </c>
      <c r="H3" s="8">
        <f>IF($B$10=10,G3*10%,IF($B$10=20,G3*20%,IF($B$10=30,G3*30%)))</f>
        <v>17600</v>
      </c>
    </row>
    <row r="4" spans="1:8" x14ac:dyDescent="0.25">
      <c r="C4">
        <v>1</v>
      </c>
      <c r="D4" s="1" t="s">
        <v>4</v>
      </c>
      <c r="E4" s="7">
        <v>50000</v>
      </c>
      <c r="F4" s="9">
        <f t="shared" ref="F4:F9" si="0">E4+(E4*10%)</f>
        <v>55000</v>
      </c>
      <c r="G4" s="15">
        <f>IF(AND($C$2=2,$C$4=1),E4,F4)</f>
        <v>55000</v>
      </c>
      <c r="H4" s="8">
        <f t="shared" ref="H4:H9" si="1">IF($B$10=10,G4*10%,IF($B$10=20,G4*20%,IF($B$10=30,G4*30%)))</f>
        <v>11000</v>
      </c>
    </row>
    <row r="5" spans="1:8" x14ac:dyDescent="0.25">
      <c r="B5" s="5"/>
      <c r="D5" s="1" t="s">
        <v>7</v>
      </c>
      <c r="E5" s="7">
        <v>150000</v>
      </c>
      <c r="F5" s="9">
        <f t="shared" si="0"/>
        <v>165000</v>
      </c>
      <c r="G5" s="15">
        <f>IF(AND($C$2=3,$C$4=1),E5,F5)</f>
        <v>150000</v>
      </c>
      <c r="H5" s="8">
        <f t="shared" si="1"/>
        <v>30000</v>
      </c>
    </row>
    <row r="6" spans="1:8" x14ac:dyDescent="0.25">
      <c r="D6" s="1" t="s">
        <v>5</v>
      </c>
      <c r="E6" s="7">
        <v>200000</v>
      </c>
      <c r="F6" s="9">
        <f t="shared" si="0"/>
        <v>220000</v>
      </c>
      <c r="G6" s="15">
        <f>IF(AND($C$2=4,$C$4=1),E6,F6)</f>
        <v>220000</v>
      </c>
      <c r="H6" s="8">
        <f t="shared" si="1"/>
        <v>44000</v>
      </c>
    </row>
    <row r="7" spans="1:8" x14ac:dyDescent="0.25">
      <c r="D7" s="1" t="s">
        <v>6</v>
      </c>
      <c r="E7" s="7">
        <v>150000</v>
      </c>
      <c r="F7" s="9">
        <f t="shared" si="0"/>
        <v>165000</v>
      </c>
      <c r="G7" s="15">
        <f>IF(AND($C$2=5,$C$4=1),E7,F7)</f>
        <v>165000</v>
      </c>
      <c r="H7" s="8">
        <f t="shared" si="1"/>
        <v>33000</v>
      </c>
    </row>
    <row r="8" spans="1:8" x14ac:dyDescent="0.25">
      <c r="D8" s="1" t="s">
        <v>1</v>
      </c>
      <c r="E8" s="7">
        <v>100000</v>
      </c>
      <c r="F8" s="9">
        <f t="shared" si="0"/>
        <v>110000</v>
      </c>
      <c r="G8" s="15">
        <f>IF(AND($C$2=6,$C$4=1),E8,F8)</f>
        <v>110000</v>
      </c>
      <c r="H8" s="8">
        <f t="shared" si="1"/>
        <v>22000</v>
      </c>
    </row>
    <row r="9" spans="1:8" x14ac:dyDescent="0.25">
      <c r="A9" s="6" t="s">
        <v>10</v>
      </c>
      <c r="D9" s="1" t="s">
        <v>8</v>
      </c>
      <c r="E9" s="7">
        <v>180000</v>
      </c>
      <c r="F9" s="9">
        <f t="shared" si="0"/>
        <v>198000</v>
      </c>
      <c r="G9" s="15">
        <f>IF(AND($C$2=7,$C$4=1),E9,F9)</f>
        <v>198000</v>
      </c>
      <c r="H9" s="8">
        <f t="shared" si="1"/>
        <v>39600</v>
      </c>
    </row>
    <row r="10" spans="1:8" x14ac:dyDescent="0.25">
      <c r="B10">
        <v>20</v>
      </c>
      <c r="H10" s="8">
        <f>INDEX(H3:H9,C2)</f>
        <v>30000</v>
      </c>
    </row>
    <row r="12" spans="1:8" x14ac:dyDescent="0.25">
      <c r="A12" s="6" t="s">
        <v>11</v>
      </c>
      <c r="B12" s="7">
        <f>INDEX(G3:G9,C2)+H10</f>
        <v>180000</v>
      </c>
      <c r="C12" s="12"/>
    </row>
  </sheetData>
  <mergeCells count="1">
    <mergeCell ref="A1:B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List Box 1">
              <controlPr defaultSize="0" autoLine="0" autoPict="0">
                <anchor moveWithCells="1">
                  <from>
                    <xdr:col>0</xdr:col>
                    <xdr:colOff>47625</xdr:colOff>
                    <xdr:row>2</xdr:row>
                    <xdr:rowOff>9525</xdr:rowOff>
                  </from>
                  <to>
                    <xdr:col>0</xdr:col>
                    <xdr:colOff>1857375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Option Button 2">
              <controlPr defaultSize="0" autoFill="0" autoLine="0" autoPict="0">
                <anchor moveWithCells="1">
                  <from>
                    <xdr:col>1</xdr:col>
                    <xdr:colOff>0</xdr:colOff>
                    <xdr:row>2</xdr:row>
                    <xdr:rowOff>9525</xdr:rowOff>
                  </from>
                  <to>
                    <xdr:col>2</xdr:col>
                    <xdr:colOff>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Option Button 3">
              <controlPr defaultSize="0" autoFill="0" autoLine="0" autoPict="0">
                <anchor moveWithCells="1">
                  <from>
                    <xdr:col>0</xdr:col>
                    <xdr:colOff>1885950</xdr:colOff>
                    <xdr:row>5</xdr:row>
                    <xdr:rowOff>0</xdr:rowOff>
                  </from>
                  <to>
                    <xdr:col>1</xdr:col>
                    <xdr:colOff>1552575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Scroll Bar 4">
              <controlPr defaultSize="0" autoPict="0">
                <anchor moveWithCells="1">
                  <from>
                    <xdr:col>0</xdr:col>
                    <xdr:colOff>1885950</xdr:colOff>
                    <xdr:row>7</xdr:row>
                    <xdr:rowOff>171450</xdr:rowOff>
                  </from>
                  <to>
                    <xdr:col>1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H12"/>
  <sheetViews>
    <sheetView showGridLines="0" tabSelected="1" zoomScale="130" zoomScaleNormal="130" workbookViewId="0">
      <selection activeCell="B12" sqref="B12"/>
    </sheetView>
  </sheetViews>
  <sheetFormatPr baseColWidth="10" defaultRowHeight="15" x14ac:dyDescent="0.25"/>
  <cols>
    <col min="1" max="1" width="28.42578125" customWidth="1"/>
    <col min="2" max="2" width="26" customWidth="1"/>
    <col min="3" max="3" width="17.5703125" hidden="1" customWidth="1"/>
    <col min="4" max="4" width="11.42578125" hidden="1" customWidth="1"/>
    <col min="5" max="5" width="26.42578125" hidden="1" customWidth="1"/>
    <col min="6" max="6" width="19.7109375" hidden="1" customWidth="1"/>
    <col min="7" max="7" width="20.42578125" hidden="1" customWidth="1"/>
    <col min="8" max="8" width="11.42578125" hidden="1" customWidth="1"/>
  </cols>
  <sheetData>
    <row r="1" spans="1:8" x14ac:dyDescent="0.25">
      <c r="A1" s="18" t="s">
        <v>0</v>
      </c>
      <c r="B1" s="19"/>
      <c r="C1" s="2"/>
      <c r="D1" s="2"/>
      <c r="E1" s="3"/>
    </row>
    <row r="2" spans="1:8" x14ac:dyDescent="0.25">
      <c r="A2" s="13" t="s">
        <v>2</v>
      </c>
      <c r="B2" s="13" t="s">
        <v>9</v>
      </c>
      <c r="C2">
        <v>1</v>
      </c>
      <c r="D2" s="4" t="s">
        <v>2</v>
      </c>
      <c r="E2" s="6" t="s">
        <v>12</v>
      </c>
      <c r="F2" s="6" t="s">
        <v>13</v>
      </c>
      <c r="G2" s="10" t="s">
        <v>14</v>
      </c>
      <c r="H2" s="6" t="s">
        <v>15</v>
      </c>
    </row>
    <row r="3" spans="1:8" x14ac:dyDescent="0.25">
      <c r="D3" s="1" t="s">
        <v>3</v>
      </c>
      <c r="E3" s="7">
        <v>80000</v>
      </c>
      <c r="F3" s="9">
        <f>E3+(E3*10%)</f>
        <v>88000</v>
      </c>
      <c r="G3" s="11">
        <f>IF(AND($C$2=1,$C$4=1),E3,F3)</f>
        <v>88000</v>
      </c>
      <c r="H3" s="8" t="b">
        <f>IF($B$10=10,G3*10%,IF($B$10=20,G3*20%,IF($B$10=30,G3*30%)))</f>
        <v>0</v>
      </c>
    </row>
    <row r="4" spans="1:8" x14ac:dyDescent="0.25">
      <c r="C4">
        <v>2</v>
      </c>
      <c r="D4" s="1" t="s">
        <v>4</v>
      </c>
      <c r="E4" s="7">
        <v>50000</v>
      </c>
      <c r="F4" s="9">
        <f t="shared" ref="F4:F9" si="0">E4+(E4*10%)</f>
        <v>55000</v>
      </c>
      <c r="G4" s="11">
        <f>IF(AND($C$2=2,$C$4=1),E4,F4)</f>
        <v>55000</v>
      </c>
      <c r="H4" s="8" t="b">
        <f t="shared" ref="H4:H9" si="1">IF($B$10=10,G4*10%,IF($B$10=20,G4*20%,IF($B$10=30,G4*30%)))</f>
        <v>0</v>
      </c>
    </row>
    <row r="5" spans="1:8" x14ac:dyDescent="0.25">
      <c r="B5" s="5"/>
      <c r="D5" s="1" t="s">
        <v>7</v>
      </c>
      <c r="E5" s="7">
        <v>150000</v>
      </c>
      <c r="F5" s="9">
        <f t="shared" si="0"/>
        <v>165000</v>
      </c>
      <c r="G5" s="11">
        <f>IF(AND($C$2=3,$C$4=1),E5,F5)</f>
        <v>165000</v>
      </c>
      <c r="H5" s="8" t="b">
        <f t="shared" si="1"/>
        <v>0</v>
      </c>
    </row>
    <row r="6" spans="1:8" x14ac:dyDescent="0.25">
      <c r="D6" s="1" t="s">
        <v>5</v>
      </c>
      <c r="E6" s="7">
        <v>200000</v>
      </c>
      <c r="F6" s="9">
        <f t="shared" si="0"/>
        <v>220000</v>
      </c>
      <c r="G6" s="11">
        <f>IF(AND($C$2=4,$C$4=1),E6,F6)</f>
        <v>220000</v>
      </c>
      <c r="H6" s="8" t="b">
        <f t="shared" si="1"/>
        <v>0</v>
      </c>
    </row>
    <row r="7" spans="1:8" x14ac:dyDescent="0.25">
      <c r="D7" s="1" t="s">
        <v>6</v>
      </c>
      <c r="E7" s="7">
        <v>150000</v>
      </c>
      <c r="F7" s="9">
        <f t="shared" si="0"/>
        <v>165000</v>
      </c>
      <c r="G7" s="11">
        <f>IF(AND($C$2=5,$C$4=1),E7,F7)</f>
        <v>165000</v>
      </c>
      <c r="H7" s="8" t="b">
        <f t="shared" si="1"/>
        <v>0</v>
      </c>
    </row>
    <row r="8" spans="1:8" x14ac:dyDescent="0.25">
      <c r="D8" s="1" t="s">
        <v>1</v>
      </c>
      <c r="E8" s="7">
        <v>100000</v>
      </c>
      <c r="F8" s="9">
        <f t="shared" si="0"/>
        <v>110000</v>
      </c>
      <c r="G8" s="11">
        <f>IF(AND($C$2=6,$C$4=1),E8,F8)</f>
        <v>110000</v>
      </c>
      <c r="H8" s="8" t="b">
        <f t="shared" si="1"/>
        <v>0</v>
      </c>
    </row>
    <row r="9" spans="1:8" x14ac:dyDescent="0.25">
      <c r="A9" s="6" t="s">
        <v>10</v>
      </c>
      <c r="D9" s="1" t="s">
        <v>8</v>
      </c>
      <c r="E9" s="7">
        <v>180000</v>
      </c>
      <c r="F9" s="9">
        <f t="shared" si="0"/>
        <v>198000</v>
      </c>
      <c r="G9" s="11">
        <f>IF(AND($C$2=7,$C$4=1),E9,F9)</f>
        <v>198000</v>
      </c>
      <c r="H9" s="8" t="b">
        <f t="shared" si="1"/>
        <v>0</v>
      </c>
    </row>
    <row r="10" spans="1:8" x14ac:dyDescent="0.25">
      <c r="B10">
        <v>0</v>
      </c>
      <c r="H10" s="8" t="b">
        <f>INDEX(H3:H9,C2)</f>
        <v>0</v>
      </c>
    </row>
    <row r="12" spans="1:8" x14ac:dyDescent="0.25">
      <c r="A12" s="6" t="s">
        <v>11</v>
      </c>
      <c r="B12" s="7">
        <f>INDEX(G3:G9,C2)+H10</f>
        <v>88000</v>
      </c>
      <c r="C12" s="12"/>
    </row>
  </sheetData>
  <mergeCells count="1">
    <mergeCell ref="A1:B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List Box 6">
              <controlPr defaultSize="0" autoLine="0" autoPict="0">
                <anchor moveWithCells="1">
                  <from>
                    <xdr:col>0</xdr:col>
                    <xdr:colOff>19050</xdr:colOff>
                    <xdr:row>2</xdr:row>
                    <xdr:rowOff>19050</xdr:rowOff>
                  </from>
                  <to>
                    <xdr:col>0</xdr:col>
                    <xdr:colOff>1895475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Option Button 7">
              <controlPr defaultSize="0" autoFill="0" autoLine="0" autoPict="0">
                <anchor moveWithCells="1">
                  <from>
                    <xdr:col>1</xdr:col>
                    <xdr:colOff>57150</xdr:colOff>
                    <xdr:row>2</xdr:row>
                    <xdr:rowOff>76200</xdr:rowOff>
                  </from>
                  <to>
                    <xdr:col>1</xdr:col>
                    <xdr:colOff>1685925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Option Button 8">
              <controlPr defaultSize="0" autoFill="0" autoLine="0" autoPict="0">
                <anchor moveWithCells="1">
                  <from>
                    <xdr:col>1</xdr:col>
                    <xdr:colOff>66675</xdr:colOff>
                    <xdr:row>4</xdr:row>
                    <xdr:rowOff>76200</xdr:rowOff>
                  </from>
                  <to>
                    <xdr:col>1</xdr:col>
                    <xdr:colOff>1095375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Scroll Bar 9">
              <controlPr defaultSize="0" autoPict="0">
                <anchor moveWithCells="1">
                  <from>
                    <xdr:col>0</xdr:col>
                    <xdr:colOff>1885950</xdr:colOff>
                    <xdr:row>7</xdr:row>
                    <xdr:rowOff>180975</xdr:rowOff>
                  </from>
                  <to>
                    <xdr:col>8</xdr:col>
                    <xdr:colOff>38100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ACTIV (3)</vt:lpstr>
      <vt:lpstr>ACTIV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Yuri</dc:creator>
  <cp:lastModifiedBy>Yuri</cp:lastModifiedBy>
  <dcterms:created xsi:type="dcterms:W3CDTF">2023-02-22T16:05:46Z</dcterms:created>
  <dcterms:modified xsi:type="dcterms:W3CDTF">2023-03-29T15:10:16Z</dcterms:modified>
</cp:coreProperties>
</file>